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Z:\Topics\Model Evaluation\"/>
    </mc:Choice>
  </mc:AlternateContent>
  <xr:revisionPtr revIDLastSave="0" documentId="13_ncr:1_{77C188F7-1B19-4A07-B31A-FC40EAEC66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FN_Th_0.25">Sheet1!$E$20</definedName>
    <definedName name="FN_Th_0.5">Sheet1!$D$20</definedName>
    <definedName name="FN_Th_0.75">Sheet1!$C$20</definedName>
    <definedName name="FP_Th_0.25">Sheet1!$E$19</definedName>
    <definedName name="FP_Th_0.5">Sheet1!$D$19</definedName>
    <definedName name="FP_Th_0.75">Sheet1!$C$19</definedName>
    <definedName name="FPR">Sheet1!$C$21</definedName>
    <definedName name="Target">Sheet1!$A$2:$A$30</definedName>
    <definedName name="Th_0.25">Sheet1!$E$2:$E$30</definedName>
    <definedName name="Th_0.5">Sheet1!$D$2:$D$30</definedName>
    <definedName name="Th_0.75">Sheet1!$C$2:$C$30</definedName>
    <definedName name="TN_Th_0.25">Sheet1!$E$18</definedName>
    <definedName name="TN_Th_0.5">Sheet1!$D$18</definedName>
    <definedName name="TN_Th_0.75">Sheet1!$C$18</definedName>
    <definedName name="TP_Th_0.25">Sheet1!$E$17</definedName>
    <definedName name="TP_Th_0.5">Sheet1!$D$17</definedName>
    <definedName name="TP_Th_0.75">Sheet1!$C$17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D2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8" i="1"/>
  <c r="C8" i="1" s="1"/>
  <c r="B9" i="1"/>
  <c r="C9" i="1" s="1"/>
  <c r="B10" i="1"/>
  <c r="C10" i="1" s="1"/>
  <c r="B11" i="1"/>
  <c r="C11" i="1" s="1"/>
  <c r="B12" i="1"/>
  <c r="C12" i="1" s="1"/>
  <c r="B13" i="1"/>
  <c r="D13" i="1" s="1"/>
  <c r="B14" i="1"/>
  <c r="C14" i="1" s="1"/>
  <c r="B3" i="1"/>
  <c r="C3" i="1" s="1"/>
  <c r="B4" i="1"/>
  <c r="D4" i="1" s="1"/>
  <c r="B5" i="1"/>
  <c r="C5" i="1" s="1"/>
  <c r="B6" i="1"/>
  <c r="C6" i="1" s="1"/>
  <c r="B7" i="1"/>
  <c r="D7" i="1" s="1"/>
  <c r="E30" i="1" l="1"/>
  <c r="E26" i="1"/>
  <c r="E22" i="1"/>
  <c r="E18" i="1"/>
  <c r="E29" i="1"/>
  <c r="E25" i="1"/>
  <c r="E21" i="1"/>
  <c r="E17" i="1"/>
  <c r="E28" i="1"/>
  <c r="E24" i="1"/>
  <c r="E20" i="1"/>
  <c r="E16" i="1"/>
  <c r="E27" i="1"/>
  <c r="E23" i="1"/>
  <c r="E19" i="1"/>
  <c r="E15" i="1"/>
  <c r="D30" i="1"/>
  <c r="D26" i="1"/>
  <c r="D18" i="1"/>
  <c r="D29" i="1"/>
  <c r="D25" i="1"/>
  <c r="D17" i="1"/>
  <c r="D28" i="1"/>
  <c r="D24" i="1"/>
  <c r="D20" i="1"/>
  <c r="D16" i="1"/>
  <c r="D22" i="1"/>
  <c r="D21" i="1"/>
  <c r="D27" i="1"/>
  <c r="D23" i="1"/>
  <c r="D19" i="1"/>
  <c r="D15" i="1"/>
  <c r="D14" i="1"/>
  <c r="E14" i="1"/>
  <c r="E10" i="1"/>
  <c r="E6" i="1"/>
  <c r="D12" i="1"/>
  <c r="E13" i="1"/>
  <c r="E9" i="1"/>
  <c r="E5" i="1"/>
  <c r="D10" i="1"/>
  <c r="E12" i="1"/>
  <c r="E8" i="1"/>
  <c r="E4" i="1"/>
  <c r="D8" i="1"/>
  <c r="E11" i="1"/>
  <c r="E7" i="1"/>
  <c r="E3" i="1"/>
  <c r="D6" i="1"/>
  <c r="D9" i="1"/>
  <c r="D5" i="1"/>
  <c r="D11" i="1"/>
  <c r="D3" i="1"/>
  <c r="C13" i="1"/>
  <c r="C4" i="1"/>
  <c r="C7" i="1"/>
  <c r="C2" i="1"/>
  <c r="E2" i="1"/>
  <c r="J4" i="1" l="1"/>
  <c r="I2" i="1"/>
  <c r="I5" i="1"/>
  <c r="I4" i="1"/>
  <c r="I3" i="1"/>
  <c r="J2" i="1"/>
  <c r="J5" i="1"/>
  <c r="K4" i="1"/>
  <c r="K3" i="1"/>
  <c r="K2" i="1"/>
  <c r="K5" i="1"/>
  <c r="J3" i="1"/>
  <c r="J9" i="1" s="1"/>
  <c r="K8" i="1" l="1"/>
  <c r="J8" i="1"/>
  <c r="K9" i="1"/>
  <c r="I9" i="1"/>
  <c r="I8" i="1"/>
  <c r="K10" i="1"/>
  <c r="I10" i="1"/>
  <c r="J10" i="1"/>
  <c r="I6" i="1"/>
  <c r="I12" i="1" s="1"/>
  <c r="K6" i="1"/>
  <c r="K12" i="1" s="1"/>
  <c r="K7" i="1"/>
  <c r="J7" i="1"/>
  <c r="J6" i="1"/>
  <c r="J12" i="1" s="1"/>
  <c r="I7" i="1"/>
  <c r="J11" i="1" l="1"/>
  <c r="K11" i="1"/>
  <c r="I11" i="1"/>
</calcChain>
</file>

<file path=xl/sharedStrings.xml><?xml version="1.0" encoding="utf-8"?>
<sst xmlns="http://schemas.openxmlformats.org/spreadsheetml/2006/main" count="26" uniqueCount="23">
  <si>
    <t>Target</t>
  </si>
  <si>
    <t>Prediction</t>
  </si>
  <si>
    <t>Th_0.5</t>
  </si>
  <si>
    <t>Th_0.25</t>
  </si>
  <si>
    <t>Th_0.75</t>
  </si>
  <si>
    <t>TP</t>
  </si>
  <si>
    <t>TN</t>
  </si>
  <si>
    <t>FP</t>
  </si>
  <si>
    <t>FN</t>
  </si>
  <si>
    <t>FPR</t>
  </si>
  <si>
    <t>FP/(FP+TN)</t>
  </si>
  <si>
    <t>TP/(TP+FN)</t>
  </si>
  <si>
    <t>TPR (Sensitivity, Recall)</t>
  </si>
  <si>
    <t>Precision</t>
  </si>
  <si>
    <t>TP/(TP+FP)</t>
  </si>
  <si>
    <t>TN/(TN+FP)</t>
  </si>
  <si>
    <t>TNR (Specificity)</t>
  </si>
  <si>
    <t>Type I</t>
  </si>
  <si>
    <t>FP/N</t>
  </si>
  <si>
    <t>FN/N</t>
  </si>
  <si>
    <t>Type II</t>
  </si>
  <si>
    <t>FN/(FN+TP)</t>
  </si>
  <si>
    <t>FNR (I - TPR, miss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</si>
</sst>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Sheet1!$H$7</c:f>
              <c:strCache>
                <c:ptCount val="1"/>
                <c:pt idx="0">
                  <c:v>TPR (Sensitivity, Recall)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Sheet1!$I$6:$K$6</c:f>
              <c:numCache>
                <c:formatCode>General</c:formatCode>
                <c:ptCount val="3"/>
                <c:pt idx="0">
                  <c:v>0</c:v>
                </c:pt>
                <c:pt idx="1">
                  <c:v>0.46666666666666667</c:v>
                </c:pt>
                <c:pt idx="2">
                  <c:v>0.6</c:v>
                </c:pt>
              </c:numCache>
            </c:numRef>
          </c:cat>
          <c:val>
            <c:numRef>
              <c:f>Sheet1!$I$7:$K$7</c:f>
              <c:numCache>
                <c:formatCode>General</c:formatCode>
                <c:ptCount val="3"/>
                <c:pt idx="0">
                  <c:v>0.14285714285714285</c:v>
                </c:pt>
                <c:pt idx="1">
                  <c:v>0.35714285714285715</c:v>
                </c:pt>
                <c:pt idx="2">
                  <c:v>0.6428571428571429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0E-41BD-B8F5-552FF4ECB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3573720"/>
        <c:axId val="443580280"/>
      </c:lineChart>
      <c:catAx>
        <c:axId val="443573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False Positice Rate (1 - Specificity)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80280"/>
        <c:crosses val="autoZero"/>
        <c:auto val="1"/>
        <c:lblAlgn val="ctr"/>
        <c:lblOffset val="100"/>
        <c:noMultiLvlLbl val="0"/>
      </c:catAx>
      <c:valAx>
        <c:axId val="443580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True Positive</a:t>
                </a:r>
                <a:r>
                  <a:rPr lang="en-CA" baseline="0"/>
                  <a:t> Rate (Sensitivity)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73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31297</xdr:colOff>
      <xdr:row>12</xdr:row>
      <xdr:rowOff>6123</xdr:rowOff>
    </xdr:from>
    <xdr:to>
      <xdr:col>10</xdr:col>
      <xdr:colOff>564697</xdr:colOff>
      <xdr:row>33</xdr:row>
      <xdr:rowOff>82323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2667E7-8AB8-4854-8AC0-F2555602AB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zoomScale="175" zoomScaleNormal="175" workbookViewId="0">
      <selection activeCell="B3" sqref="B3"/>
    </sheetView>
  </sheetViews>
  <sheetFormatPr defaultRowHeight="15" x14ac:dyDescent="0.25"/>
  <cols>
    <col min="1" max="1" width="11" bestFit="1" customWidth="1"/>
    <col min="2" max="2" width="10.140625" bestFit="1" customWidth="1"/>
    <col min="7" max="7" width="11" bestFit="1" customWidth="1"/>
    <col min="8" max="8" width="22.140625" bestFit="1" customWidth="1"/>
  </cols>
  <sheetData>
    <row r="1" spans="1:11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  <c r="I1" t="s">
        <v>4</v>
      </c>
      <c r="J1" t="s">
        <v>2</v>
      </c>
      <c r="K1" t="s">
        <v>3</v>
      </c>
    </row>
    <row r="2" spans="1:11" x14ac:dyDescent="0.25">
      <c r="A2">
        <v>1</v>
      </c>
      <c r="B2">
        <f ca="1">RAND()</f>
        <v>0.97058425013935612</v>
      </c>
      <c r="C2">
        <f ca="1">IF(B2&gt;0.75, 1, 0)</f>
        <v>1</v>
      </c>
      <c r="D2">
        <f ca="1">IF(B2&gt;0.5, 1, 0)</f>
        <v>1</v>
      </c>
      <c r="E2">
        <f ca="1">IF(B2&gt;0.25, 1, 0)</f>
        <v>1</v>
      </c>
      <c r="H2" t="s">
        <v>5</v>
      </c>
      <c r="I2">
        <f ca="1">COUNTIFS(Th_0.75, 1, Target, 1 )</f>
        <v>2</v>
      </c>
      <c r="J2">
        <f ca="1">COUNTIFS(Th_0.5, 1, Target, 1 )</f>
        <v>5</v>
      </c>
      <c r="K2">
        <f ca="1">COUNTIFS(Th_0.25, 1, Target, 1 )</f>
        <v>9</v>
      </c>
    </row>
    <row r="3" spans="1:11" x14ac:dyDescent="0.25">
      <c r="A3">
        <v>1</v>
      </c>
      <c r="B3">
        <f t="shared" ref="B3:B30" ca="1" si="0">RAND()</f>
        <v>6.7573455959633821E-2</v>
      </c>
      <c r="C3">
        <f t="shared" ref="C3:C30" ca="1" si="1">IF(B3&gt;0.75, 1, 0)</f>
        <v>0</v>
      </c>
      <c r="D3">
        <f t="shared" ref="D3:D30" ca="1" si="2">IF(B3&gt;0.5, 1, 0)</f>
        <v>0</v>
      </c>
      <c r="E3">
        <f t="shared" ref="E3:E30" ca="1" si="3">IF(B3&gt;0.25, 1, 0)</f>
        <v>0</v>
      </c>
      <c r="H3" t="s">
        <v>6</v>
      </c>
      <c r="I3">
        <f ca="1">COUNTIFS(Th_0.75, 0, Target, 0 )</f>
        <v>15</v>
      </c>
      <c r="J3">
        <f ca="1">COUNTIFS(Th_0.5, 0, Target, 0 )</f>
        <v>8</v>
      </c>
      <c r="K3">
        <f ca="1">COUNTIFS(Th_0.25, 0, Target, 0 )</f>
        <v>6</v>
      </c>
    </row>
    <row r="4" spans="1:11" x14ac:dyDescent="0.25">
      <c r="A4">
        <v>1</v>
      </c>
      <c r="B4">
        <f t="shared" ca="1" si="0"/>
        <v>4.9097585884852024E-2</v>
      </c>
      <c r="C4">
        <f t="shared" ca="1" si="1"/>
        <v>0</v>
      </c>
      <c r="D4">
        <f t="shared" ca="1" si="2"/>
        <v>0</v>
      </c>
      <c r="E4">
        <f t="shared" ca="1" si="3"/>
        <v>0</v>
      </c>
      <c r="H4" t="s">
        <v>7</v>
      </c>
      <c r="I4">
        <f ca="1">COUNTIFS(Th_0.75, 1, Target, 0 )</f>
        <v>0</v>
      </c>
      <c r="J4">
        <f ca="1">COUNTIFS(Th_0.5, 1, Target, 0 )</f>
        <v>7</v>
      </c>
      <c r="K4">
        <f ca="1">COUNTIFS(Th_0.25, 1, Target, 0 )</f>
        <v>9</v>
      </c>
    </row>
    <row r="5" spans="1:11" x14ac:dyDescent="0.25">
      <c r="A5">
        <v>0</v>
      </c>
      <c r="B5">
        <f t="shared" ca="1" si="0"/>
        <v>0.50342507206011733</v>
      </c>
      <c r="C5">
        <f t="shared" ca="1" si="1"/>
        <v>0</v>
      </c>
      <c r="D5">
        <f t="shared" ca="1" si="2"/>
        <v>1</v>
      </c>
      <c r="E5">
        <f t="shared" ca="1" si="3"/>
        <v>1</v>
      </c>
      <c r="H5" t="s">
        <v>8</v>
      </c>
      <c r="I5">
        <f ca="1">COUNTIFS(Th_0.75, 0, Target, 1 )</f>
        <v>12</v>
      </c>
      <c r="J5">
        <f ca="1">COUNTIFS(Th_0.5, 0, Target, 1 )</f>
        <v>9</v>
      </c>
      <c r="K5">
        <f ca="1">COUNTIFS(Th_0.25, 0, Target, 1 )</f>
        <v>5</v>
      </c>
    </row>
    <row r="6" spans="1:11" x14ac:dyDescent="0.25">
      <c r="A6">
        <v>0</v>
      </c>
      <c r="B6">
        <f t="shared" ca="1" si="0"/>
        <v>0.17251307880316358</v>
      </c>
      <c r="C6">
        <f t="shared" ca="1" si="1"/>
        <v>0</v>
      </c>
      <c r="D6">
        <f t="shared" ca="1" si="2"/>
        <v>0</v>
      </c>
      <c r="E6">
        <f t="shared" ca="1" si="3"/>
        <v>0</v>
      </c>
      <c r="G6" t="s">
        <v>10</v>
      </c>
      <c r="H6" t="s">
        <v>9</v>
      </c>
      <c r="I6">
        <f ca="1">I4/(I4+I3)</f>
        <v>0</v>
      </c>
      <c r="J6">
        <f t="shared" ref="J6:K6" ca="1" si="4">J4/(J4+J3)</f>
        <v>0.46666666666666667</v>
      </c>
      <c r="K6">
        <f t="shared" ca="1" si="4"/>
        <v>0.6</v>
      </c>
    </row>
    <row r="7" spans="1:11" x14ac:dyDescent="0.25">
      <c r="A7">
        <v>0</v>
      </c>
      <c r="B7">
        <f t="shared" ca="1" si="0"/>
        <v>0.72503796836038081</v>
      </c>
      <c r="C7">
        <f t="shared" ca="1" si="1"/>
        <v>0</v>
      </c>
      <c r="D7">
        <f t="shared" ca="1" si="2"/>
        <v>1</v>
      </c>
      <c r="E7">
        <f t="shared" ca="1" si="3"/>
        <v>1</v>
      </c>
      <c r="G7" t="s">
        <v>11</v>
      </c>
      <c r="H7" t="s">
        <v>12</v>
      </c>
      <c r="I7">
        <f ca="1">I2/(I2+I5)</f>
        <v>0.14285714285714285</v>
      </c>
      <c r="J7">
        <f t="shared" ref="J7:K7" ca="1" si="5">J2/(J2+J5)</f>
        <v>0.35714285714285715</v>
      </c>
      <c r="K7">
        <f t="shared" ca="1" si="5"/>
        <v>0.6428571428571429</v>
      </c>
    </row>
    <row r="8" spans="1:11" x14ac:dyDescent="0.25">
      <c r="A8">
        <v>0</v>
      </c>
      <c r="B8">
        <f t="shared" ca="1" si="0"/>
        <v>0.66007521722655793</v>
      </c>
      <c r="C8">
        <f t="shared" ca="1" si="1"/>
        <v>0</v>
      </c>
      <c r="D8">
        <f t="shared" ca="1" si="2"/>
        <v>1</v>
      </c>
      <c r="E8">
        <f t="shared" ca="1" si="3"/>
        <v>1</v>
      </c>
      <c r="G8" t="s">
        <v>21</v>
      </c>
      <c r="H8" t="s">
        <v>22</v>
      </c>
      <c r="I8">
        <f ca="1">I5/(I5+I2)</f>
        <v>0.8571428571428571</v>
      </c>
      <c r="J8">
        <f t="shared" ref="J8:K8" ca="1" si="6">J5/(J5+J2)</f>
        <v>0.6428571428571429</v>
      </c>
      <c r="K8">
        <f t="shared" ca="1" si="6"/>
        <v>0.35714285714285715</v>
      </c>
    </row>
    <row r="9" spans="1:11" x14ac:dyDescent="0.25">
      <c r="A9">
        <v>0</v>
      </c>
      <c r="B9">
        <f t="shared" ca="1" si="0"/>
        <v>0.23668172758901451</v>
      </c>
      <c r="C9">
        <f t="shared" ca="1" si="1"/>
        <v>0</v>
      </c>
      <c r="D9">
        <f t="shared" ca="1" si="2"/>
        <v>0</v>
      </c>
      <c r="E9">
        <f t="shared" ca="1" si="3"/>
        <v>0</v>
      </c>
      <c r="G9" t="s">
        <v>14</v>
      </c>
      <c r="H9" t="s">
        <v>13</v>
      </c>
      <c r="I9">
        <f ca="1">I3/(I3+I5)</f>
        <v>0.55555555555555558</v>
      </c>
      <c r="J9">
        <f t="shared" ref="J9:K9" ca="1" si="7">J3/(J3+J5)</f>
        <v>0.47058823529411764</v>
      </c>
      <c r="K9">
        <f t="shared" ca="1" si="7"/>
        <v>0.54545454545454541</v>
      </c>
    </row>
    <row r="10" spans="1:11" x14ac:dyDescent="0.25">
      <c r="A10">
        <v>0</v>
      </c>
      <c r="B10">
        <f t="shared" ca="1" si="0"/>
        <v>0.61703426331286571</v>
      </c>
      <c r="C10">
        <f t="shared" ca="1" si="1"/>
        <v>0</v>
      </c>
      <c r="D10">
        <f t="shared" ca="1" si="2"/>
        <v>1</v>
      </c>
      <c r="E10">
        <f t="shared" ca="1" si="3"/>
        <v>1</v>
      </c>
      <c r="G10" t="s">
        <v>15</v>
      </c>
      <c r="H10" t="s">
        <v>16</v>
      </c>
      <c r="I10">
        <f ca="1">I4/(I4+I5)</f>
        <v>0</v>
      </c>
      <c r="J10">
        <f t="shared" ref="J10:K10" ca="1" si="8">J4/(J4+J5)</f>
        <v>0.4375</v>
      </c>
      <c r="K10">
        <f t="shared" ca="1" si="8"/>
        <v>0.6428571428571429</v>
      </c>
    </row>
    <row r="11" spans="1:11" x14ac:dyDescent="0.25">
      <c r="A11">
        <v>1</v>
      </c>
      <c r="B11">
        <f t="shared" ca="1" si="0"/>
        <v>0.58490761439368377</v>
      </c>
      <c r="C11">
        <f t="shared" ca="1" si="1"/>
        <v>0</v>
      </c>
      <c r="D11">
        <f t="shared" ca="1" si="2"/>
        <v>1</v>
      </c>
      <c r="E11">
        <f t="shared" ca="1" si="3"/>
        <v>1</v>
      </c>
      <c r="G11" t="s">
        <v>18</v>
      </c>
      <c r="H11" t="s">
        <v>17</v>
      </c>
      <c r="I11">
        <f ca="1">I5/SUM(I3:I6)</f>
        <v>0.44444444444444442</v>
      </c>
      <c r="J11">
        <f t="shared" ref="J11:K11" ca="1" si="9">J5/SUM(J3:J6)</f>
        <v>0.36784741144414174</v>
      </c>
      <c r="K11">
        <f t="shared" ca="1" si="9"/>
        <v>0.24271844660194172</v>
      </c>
    </row>
    <row r="12" spans="1:11" x14ac:dyDescent="0.25">
      <c r="A12">
        <v>1</v>
      </c>
      <c r="B12">
        <f t="shared" ca="1" si="0"/>
        <v>0.53901186859933148</v>
      </c>
      <c r="C12">
        <f t="shared" ca="1" si="1"/>
        <v>0</v>
      </c>
      <c r="D12">
        <f t="shared" ca="1" si="2"/>
        <v>1</v>
      </c>
      <c r="E12">
        <f t="shared" ca="1" si="3"/>
        <v>1</v>
      </c>
      <c r="G12" t="s">
        <v>19</v>
      </c>
      <c r="H12" t="s">
        <v>20</v>
      </c>
      <c r="I12">
        <f ca="1">I6/SUM(I3:I6)</f>
        <v>0</v>
      </c>
      <c r="J12">
        <f t="shared" ref="J12:K12" ca="1" si="10">J6/SUM(J3:J6)</f>
        <v>1.9073569482288829E-2</v>
      </c>
      <c r="K12">
        <f t="shared" ca="1" si="10"/>
        <v>2.9126213592233007E-2</v>
      </c>
    </row>
    <row r="13" spans="1:11" x14ac:dyDescent="0.25">
      <c r="A13">
        <v>1</v>
      </c>
      <c r="B13">
        <f t="shared" ca="1" si="0"/>
        <v>0.83426497787488718</v>
      </c>
      <c r="C13">
        <f t="shared" ca="1" si="1"/>
        <v>1</v>
      </c>
      <c r="D13">
        <f t="shared" ca="1" si="2"/>
        <v>1</v>
      </c>
      <c r="E13">
        <f t="shared" ca="1" si="3"/>
        <v>1</v>
      </c>
    </row>
    <row r="14" spans="1:11" x14ac:dyDescent="0.25">
      <c r="A14">
        <v>1</v>
      </c>
      <c r="B14">
        <f t="shared" ca="1" si="0"/>
        <v>0.16126602723283145</v>
      </c>
      <c r="C14">
        <f t="shared" ca="1" si="1"/>
        <v>0</v>
      </c>
      <c r="D14">
        <f t="shared" ca="1" si="2"/>
        <v>0</v>
      </c>
      <c r="E14">
        <f t="shared" ca="1" si="3"/>
        <v>0</v>
      </c>
    </row>
    <row r="15" spans="1:11" x14ac:dyDescent="0.25">
      <c r="A15">
        <v>1</v>
      </c>
      <c r="B15">
        <f t="shared" ca="1" si="0"/>
        <v>0.36159801657290402</v>
      </c>
      <c r="C15">
        <f t="shared" ca="1" si="1"/>
        <v>0</v>
      </c>
      <c r="D15">
        <f t="shared" ca="1" si="2"/>
        <v>0</v>
      </c>
      <c r="E15">
        <f t="shared" ca="1" si="3"/>
        <v>1</v>
      </c>
    </row>
    <row r="16" spans="1:11" x14ac:dyDescent="0.25">
      <c r="A16">
        <v>1</v>
      </c>
      <c r="B16">
        <f t="shared" ca="1" si="0"/>
        <v>4.6384146533217097E-3</v>
      </c>
      <c r="C16">
        <f t="shared" ca="1" si="1"/>
        <v>0</v>
      </c>
      <c r="D16">
        <f t="shared" ca="1" si="2"/>
        <v>0</v>
      </c>
      <c r="E16">
        <f t="shared" ca="1" si="3"/>
        <v>0</v>
      </c>
    </row>
    <row r="17" spans="1:5" x14ac:dyDescent="0.25">
      <c r="A17">
        <v>1</v>
      </c>
      <c r="B17">
        <f t="shared" ca="1" si="0"/>
        <v>0.35114157405434143</v>
      </c>
      <c r="C17">
        <f t="shared" ca="1" si="1"/>
        <v>0</v>
      </c>
      <c r="D17">
        <f t="shared" ca="1" si="2"/>
        <v>0</v>
      </c>
      <c r="E17">
        <f t="shared" ca="1" si="3"/>
        <v>1</v>
      </c>
    </row>
    <row r="18" spans="1:5" x14ac:dyDescent="0.25">
      <c r="A18">
        <v>1</v>
      </c>
      <c r="B18">
        <f t="shared" ca="1" si="0"/>
        <v>0.27388923555350286</v>
      </c>
      <c r="C18">
        <f t="shared" ca="1" si="1"/>
        <v>0</v>
      </c>
      <c r="D18">
        <f t="shared" ca="1" si="2"/>
        <v>0</v>
      </c>
      <c r="E18">
        <f t="shared" ca="1" si="3"/>
        <v>1</v>
      </c>
    </row>
    <row r="19" spans="1:5" x14ac:dyDescent="0.25">
      <c r="A19">
        <v>1</v>
      </c>
      <c r="B19">
        <f t="shared" ca="1" si="0"/>
        <v>2.8096888410323984E-2</v>
      </c>
      <c r="C19">
        <f t="shared" ca="1" si="1"/>
        <v>0</v>
      </c>
      <c r="D19">
        <f t="shared" ca="1" si="2"/>
        <v>0</v>
      </c>
      <c r="E19">
        <f t="shared" ca="1" si="3"/>
        <v>0</v>
      </c>
    </row>
    <row r="20" spans="1:5" x14ac:dyDescent="0.25">
      <c r="A20">
        <v>1</v>
      </c>
      <c r="B20">
        <f t="shared" ca="1" si="0"/>
        <v>0.54672998567665132</v>
      </c>
      <c r="C20">
        <f t="shared" ca="1" si="1"/>
        <v>0</v>
      </c>
      <c r="D20">
        <f t="shared" ca="1" si="2"/>
        <v>1</v>
      </c>
      <c r="E20">
        <f t="shared" ca="1" si="3"/>
        <v>1</v>
      </c>
    </row>
    <row r="21" spans="1:5" x14ac:dyDescent="0.25">
      <c r="A21">
        <v>1</v>
      </c>
      <c r="B21">
        <f t="shared" ca="1" si="0"/>
        <v>0.31145609604475721</v>
      </c>
      <c r="C21">
        <f t="shared" ca="1" si="1"/>
        <v>0</v>
      </c>
      <c r="D21">
        <f t="shared" ca="1" si="2"/>
        <v>0</v>
      </c>
      <c r="E21">
        <f t="shared" ca="1" si="3"/>
        <v>1</v>
      </c>
    </row>
    <row r="22" spans="1:5" x14ac:dyDescent="0.25">
      <c r="A22">
        <v>0</v>
      </c>
      <c r="B22">
        <f t="shared" ca="1" si="0"/>
        <v>0.63352894723279363</v>
      </c>
      <c r="C22">
        <f t="shared" ca="1" si="1"/>
        <v>0</v>
      </c>
      <c r="D22">
        <f t="shared" ca="1" si="2"/>
        <v>1</v>
      </c>
      <c r="E22">
        <f t="shared" ca="1" si="3"/>
        <v>1</v>
      </c>
    </row>
    <row r="23" spans="1:5" x14ac:dyDescent="0.25">
      <c r="A23">
        <v>0</v>
      </c>
      <c r="B23">
        <f t="shared" ca="1" si="0"/>
        <v>5.298522386550808E-2</v>
      </c>
      <c r="C23">
        <f t="shared" ca="1" si="1"/>
        <v>0</v>
      </c>
      <c r="D23">
        <f t="shared" ca="1" si="2"/>
        <v>0</v>
      </c>
      <c r="E23">
        <f t="shared" ca="1" si="3"/>
        <v>0</v>
      </c>
    </row>
    <row r="24" spans="1:5" x14ac:dyDescent="0.25">
      <c r="A24">
        <v>0</v>
      </c>
      <c r="B24">
        <f t="shared" ca="1" si="0"/>
        <v>0.73808496911889221</v>
      </c>
      <c r="C24">
        <f t="shared" ca="1" si="1"/>
        <v>0</v>
      </c>
      <c r="D24">
        <f t="shared" ca="1" si="2"/>
        <v>1</v>
      </c>
      <c r="E24">
        <f t="shared" ca="1" si="3"/>
        <v>1</v>
      </c>
    </row>
    <row r="25" spans="1:5" x14ac:dyDescent="0.25">
      <c r="A25">
        <v>0</v>
      </c>
      <c r="B25">
        <f t="shared" ca="1" si="0"/>
        <v>0.14957113993721116</v>
      </c>
      <c r="C25">
        <f t="shared" ca="1" si="1"/>
        <v>0</v>
      </c>
      <c r="D25">
        <f t="shared" ca="1" si="2"/>
        <v>0</v>
      </c>
      <c r="E25">
        <f t="shared" ca="1" si="3"/>
        <v>0</v>
      </c>
    </row>
    <row r="26" spans="1:5" x14ac:dyDescent="0.25">
      <c r="A26">
        <v>0</v>
      </c>
      <c r="B26">
        <f t="shared" ca="1" si="0"/>
        <v>0.15307644280454979</v>
      </c>
      <c r="C26">
        <f t="shared" ca="1" si="1"/>
        <v>0</v>
      </c>
      <c r="D26">
        <f t="shared" ca="1" si="2"/>
        <v>0</v>
      </c>
      <c r="E26">
        <f t="shared" ca="1" si="3"/>
        <v>0</v>
      </c>
    </row>
    <row r="27" spans="1:5" x14ac:dyDescent="0.25">
      <c r="A27">
        <v>0</v>
      </c>
      <c r="B27">
        <f t="shared" ca="1" si="0"/>
        <v>0.2117867020712626</v>
      </c>
      <c r="C27">
        <f t="shared" ca="1" si="1"/>
        <v>0</v>
      </c>
      <c r="D27">
        <f t="shared" ca="1" si="2"/>
        <v>0</v>
      </c>
      <c r="E27">
        <f t="shared" ca="1" si="3"/>
        <v>0</v>
      </c>
    </row>
    <row r="28" spans="1:5" x14ac:dyDescent="0.25">
      <c r="A28">
        <v>0</v>
      </c>
      <c r="B28">
        <f t="shared" ca="1" si="0"/>
        <v>0.64588435079209183</v>
      </c>
      <c r="C28">
        <f t="shared" ca="1" si="1"/>
        <v>0</v>
      </c>
      <c r="D28">
        <f t="shared" ca="1" si="2"/>
        <v>1</v>
      </c>
      <c r="E28">
        <f t="shared" ca="1" si="3"/>
        <v>1</v>
      </c>
    </row>
    <row r="29" spans="1:5" x14ac:dyDescent="0.25">
      <c r="A29">
        <v>0</v>
      </c>
      <c r="B29">
        <f t="shared" ca="1" si="0"/>
        <v>0.35297841836091692</v>
      </c>
      <c r="C29">
        <f t="shared" ca="1" si="1"/>
        <v>0</v>
      </c>
      <c r="D29">
        <f t="shared" ca="1" si="2"/>
        <v>0</v>
      </c>
      <c r="E29">
        <f t="shared" ca="1" si="3"/>
        <v>1</v>
      </c>
    </row>
    <row r="30" spans="1:5" x14ac:dyDescent="0.25">
      <c r="A30">
        <v>0</v>
      </c>
      <c r="B30">
        <f t="shared" ca="1" si="0"/>
        <v>0.36911245543555382</v>
      </c>
      <c r="C30">
        <f t="shared" ca="1" si="1"/>
        <v>0</v>
      </c>
      <c r="D30">
        <f t="shared" ca="1" si="2"/>
        <v>0</v>
      </c>
      <c r="E30">
        <f t="shared" ca="1" si="3"/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17</vt:i4>
      </vt:variant>
    </vt:vector>
  </HeadingPairs>
  <TitlesOfParts>
    <vt:vector size="18" baseType="lpstr">
      <vt:lpstr>Sheet1</vt:lpstr>
      <vt:lpstr>FN_Th_0.25</vt:lpstr>
      <vt:lpstr>FN_Th_0.5</vt:lpstr>
      <vt:lpstr>FN_Th_0.75</vt:lpstr>
      <vt:lpstr>FP_Th_0.25</vt:lpstr>
      <vt:lpstr>FP_Th_0.5</vt:lpstr>
      <vt:lpstr>FP_Th_0.75</vt:lpstr>
      <vt:lpstr>FPR</vt:lpstr>
      <vt:lpstr>Target</vt:lpstr>
      <vt:lpstr>Th_0.25</vt:lpstr>
      <vt:lpstr>Th_0.5</vt:lpstr>
      <vt:lpstr>Th_0.75</vt:lpstr>
      <vt:lpstr>TN_Th_0.25</vt:lpstr>
      <vt:lpstr>TN_Th_0.5</vt:lpstr>
      <vt:lpstr>TN_Th_0.75</vt:lpstr>
      <vt:lpstr>TP_Th_0.25</vt:lpstr>
      <vt:lpstr>TP_Th_0.5</vt:lpstr>
      <vt:lpstr>TP_Th_0.75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Uzair Ahmad</dc:creator>
  <cp:lastModifiedBy>Uzair Ahmad</cp:lastModifiedBy>
  <dcterms:created xsi:type="dcterms:W3CDTF">2015-06-05T18:17:20Z</dcterms:created>
  <dcterms:modified xsi:type="dcterms:W3CDTF">2022-02-16T23:31:10Z</dcterms:modified>
</cp:coreProperties>
</file>